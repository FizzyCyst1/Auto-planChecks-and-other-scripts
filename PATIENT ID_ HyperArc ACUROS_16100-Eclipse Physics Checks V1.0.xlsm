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Team\Orange\Radonc\Physics\2. Patient QA\!ScriptTemplates_DoNotModify\Truebeam\"/>
    </mc:Choice>
  </mc:AlternateContent>
  <bookViews>
    <workbookView xWindow="-120" yWindow="-120" windowWidth="29040" windowHeight="15840"/>
  </bookViews>
  <sheets>
    <sheet name="Summary" sheetId="1" r:id="rId1"/>
    <sheet name="Distance Calculation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2" l="1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5" i="2"/>
</calcChain>
</file>

<file path=xl/sharedStrings.xml><?xml version="1.0" encoding="utf-8"?>
<sst xmlns="http://schemas.openxmlformats.org/spreadsheetml/2006/main" count="50" uniqueCount="46">
  <si>
    <t>Patient ID:</t>
  </si>
  <si>
    <t>General Comments:</t>
  </si>
  <si>
    <t>Plan Name:</t>
  </si>
  <si>
    <t>Physicist:</t>
  </si>
  <si>
    <t>Date:</t>
  </si>
  <si>
    <t>Eclipse RTPS Plan QA</t>
  </si>
  <si>
    <t>Plan QA measurements.</t>
  </si>
  <si>
    <t xml:space="preserve">Plan QA results acceptable for treatment   </t>
  </si>
  <si>
    <t xml:space="preserve">Pre Treatment HyperArc Plan QA                      </t>
  </si>
  <si>
    <t>√</t>
  </si>
  <si>
    <t>Number of Arc is appropriate</t>
  </si>
  <si>
    <t>The plan is Reviewed or Plan Approved by RO</t>
  </si>
  <si>
    <t>Check the Image Orientation matches with the labels and COSMO (A, P, H, F)</t>
  </si>
  <si>
    <t>Physical Material table -Acuros XB-13.5</t>
  </si>
  <si>
    <r>
      <t xml:space="preserve">CT Slice Thickness is </t>
    </r>
    <r>
      <rPr>
        <sz val="12"/>
        <color theme="1"/>
        <rFont val="Calibri"/>
        <family val="2"/>
      </rPr>
      <t xml:space="preserve">≤ </t>
    </r>
    <r>
      <rPr>
        <sz val="12"/>
        <color theme="1"/>
        <rFont val="Calibri"/>
        <family val="2"/>
        <scheme val="minor"/>
      </rPr>
      <t>1mm</t>
    </r>
  </si>
  <si>
    <r>
      <t xml:space="preserve">Heterogeneity Correction in </t>
    </r>
    <r>
      <rPr>
        <b/>
        <u/>
        <sz val="12"/>
        <color theme="1"/>
        <rFont val="Calibri"/>
        <family val="2"/>
        <scheme val="minor"/>
      </rPr>
      <t>ON</t>
    </r>
  </si>
  <si>
    <t>The treatment accessoriess are appropriate AND  accounted for in calculation volume, including:
   Encompass structure is inserted
   Other accessories are included in Body structure</t>
  </si>
  <si>
    <t>SRS NTO is used</t>
  </si>
  <si>
    <t>All target structures (PTVs, CTV, etc) are with high resolution</t>
  </si>
  <si>
    <t>All PTVs (center of PTV) are within 7cm of Isocenter</t>
  </si>
  <si>
    <t>Treatment technique is SRS or HyperArc</t>
  </si>
  <si>
    <t>All fields are 6FFF beams, and have the same isocenter</t>
  </si>
  <si>
    <t>Dose calculation algorithm is Acuros_16100</t>
  </si>
  <si>
    <t>Dose optimiser is PO_16100</t>
  </si>
  <si>
    <r>
      <t xml:space="preserve">Dose calculation resolution is </t>
    </r>
    <r>
      <rPr>
        <sz val="12"/>
        <color theme="1"/>
        <rFont val="Calibri"/>
        <family val="2"/>
      </rPr>
      <t xml:space="preserve">≤ </t>
    </r>
    <r>
      <rPr>
        <sz val="12"/>
        <color theme="1"/>
        <rFont val="Calibri"/>
        <family val="2"/>
        <scheme val="minor"/>
      </rPr>
      <t>0.10 cm</t>
    </r>
  </si>
  <si>
    <t>HyperArc/SRS dose calculation resolution is ≤ 0.10 cm</t>
  </si>
  <si>
    <t>At least 1 x Point Dose (SRS Mapcheck CAX, or other methods) is within 5%</t>
  </si>
  <si>
    <t>2D fluence  (SRS MapCheck, or other methods) test pass: ≥ 95% points have γ(5% and 1mm, 10% threshold and global normalisation) ≤1 (for multi-mets, 3 dose planes or all PTVs, whichever is less, are to be measured)</t>
  </si>
  <si>
    <t>Mobius check pass with ≥ 95% points have γ(5% and 1mm, 10% threshold and global normalisation) ≤1</t>
  </si>
  <si>
    <t>The prescription is approved by RO</t>
  </si>
  <si>
    <t>Coordinate (cm)</t>
  </si>
  <si>
    <t>PTV1</t>
  </si>
  <si>
    <t>PTV2</t>
  </si>
  <si>
    <t>PTV3</t>
  </si>
  <si>
    <t>PTV4</t>
  </si>
  <si>
    <t>PTV5</t>
  </si>
  <si>
    <t>PTV6</t>
  </si>
  <si>
    <t>PTV7</t>
  </si>
  <si>
    <t>X (cm)</t>
  </si>
  <si>
    <t>Y (cm)</t>
  </si>
  <si>
    <t>Z (cm)</t>
  </si>
  <si>
    <t>Isocenter to PTV Distance (cm)</t>
  </si>
  <si>
    <t>Isocenter</t>
  </si>
  <si>
    <t>Automated Delivery Enabled for Orange or Disabled for Dubbo</t>
  </si>
  <si>
    <t>Check the Convolution Kernel is Qr40f or Qr40s and Imaging device is Orange CT or Dubbo PET/CT</t>
  </si>
  <si>
    <t>Pass or fail for QA tests below as required.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</si>
</sst>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b/>
      <u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4" fillId="0" borderId="7" xfId="0" applyFont="1" applyBorder="1" applyAlignment="1"/>
    <xf numFmtId="0" fontId="0" fillId="0" borderId="8" xfId="0" applyBorder="1" applyAlignment="1">
      <alignment horizontal="center"/>
    </xf>
    <xf numFmtId="0" fontId="5" fillId="0" borderId="7" xfId="0" applyFont="1" applyBorder="1"/>
    <xf numFmtId="0" fontId="5" fillId="0" borderId="1" xfId="0" applyFont="1" applyBorder="1"/>
    <xf numFmtId="0" fontId="5" fillId="0" borderId="8" xfId="0" applyFont="1" applyBorder="1"/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0" fontId="3" fillId="0" borderId="25" xfId="0" applyFont="1" applyBorder="1" applyAlignment="1">
      <alignment horizontal="left"/>
    </xf>
    <xf numFmtId="0" fontId="5" fillId="0" borderId="12" xfId="0" applyFont="1" applyBorder="1" applyAlignment="1">
      <alignment horizontal="left"/>
    </xf>
    <xf numFmtId="0" fontId="5" fillId="0" borderId="23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0" fillId="0" borderId="30" xfId="0" applyBorder="1" applyAlignment="1">
      <alignment horizontal="center"/>
    </xf>
    <xf numFmtId="0" fontId="0" fillId="0" borderId="33" xfId="0" applyBorder="1" applyAlignment="1">
      <alignment horizontal="center"/>
    </xf>
    <xf numFmtId="0" fontId="2" fillId="0" borderId="36" xfId="0" applyFont="1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0" fillId="0" borderId="43" xfId="0" applyBorder="1" applyAlignment="1">
      <alignment horizontal="center" vertical="center" wrapText="1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6" xfId="0" applyBorder="1" applyAlignment="1">
      <alignment horizontal="left"/>
    </xf>
    <xf numFmtId="0" fontId="0" fillId="0" borderId="22" xfId="0" applyBorder="1" applyAlignment="1">
      <alignment horizontal="center" vertical="center"/>
    </xf>
    <xf numFmtId="0" fontId="0" fillId="0" borderId="47" xfId="0" applyBorder="1" applyAlignment="1">
      <alignment horizontal="center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2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/>
    <xf numFmtId="0" fontId="2" fillId="0" borderId="0" xfId="0" applyFont="1" applyProtection="1"/>
    <xf numFmtId="0" fontId="0" fillId="0" borderId="2" xfId="0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0" xfId="0" applyBorder="1" applyAlignment="1"/>
    <xf numFmtId="0" fontId="0" fillId="0" borderId="6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1" fillId="0" borderId="12" xfId="0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 wrapText="1"/>
    </xf>
    <xf numFmtId="0" fontId="3" fillId="0" borderId="12" xfId="0" applyFont="1" applyBorder="1" applyAlignment="1">
      <alignment vertical="center" wrapText="1"/>
    </xf>
    <xf numFmtId="0" fontId="2" fillId="0" borderId="14" xfId="0" applyFont="1" applyBorder="1" applyAlignment="1"/>
    <xf numFmtId="0" fontId="0" fillId="0" borderId="15" xfId="0" applyBorder="1" applyAlignment="1"/>
    <xf numFmtId="0" fontId="4" fillId="0" borderId="16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1" fillId="0" borderId="24" xfId="0" applyFont="1" applyBorder="1" applyAlignment="1">
      <alignment horizontal="left" vertical="center" wrapText="1"/>
    </xf>
    <xf numFmtId="0" fontId="0" fillId="0" borderId="45" xfId="0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13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5" fillId="0" borderId="16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14" fontId="2" fillId="0" borderId="26" xfId="0" applyNumberFormat="1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1" fillId="0" borderId="15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3" fillId="0" borderId="28" xfId="0" applyFont="1" applyBorder="1" applyAlignment="1">
      <alignment horizontal="left" vertical="center" wrapText="1"/>
    </xf>
    <xf numFmtId="0" fontId="3" fillId="0" borderId="29" xfId="0" applyFont="1" applyBorder="1" applyAlignment="1">
      <alignment horizontal="left" vertical="center" wrapText="1"/>
    </xf>
    <xf numFmtId="0" fontId="1" fillId="0" borderId="17" xfId="0" applyFont="1" applyBorder="1" applyAlignment="1">
      <alignment horizontal="left" vertical="top" wrapText="1"/>
    </xf>
    <xf numFmtId="0" fontId="1" fillId="0" borderId="18" xfId="0" applyFont="1" applyBorder="1" applyAlignment="1">
      <alignment horizontal="left" vertical="top" wrapText="1"/>
    </xf>
    <xf numFmtId="0" fontId="1" fillId="0" borderId="6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0" xfId="0" applyFont="1" applyBorder="1" applyAlignment="1">
      <alignment horizontal="left" vertical="top" wrapText="1"/>
    </xf>
    <xf numFmtId="0" fontId="1" fillId="0" borderId="19" xfId="0" applyFont="1" applyBorder="1" applyAlignment="1">
      <alignment horizontal="left" vertical="top" wrapText="1"/>
    </xf>
    <xf numFmtId="0" fontId="1" fillId="0" borderId="20" xfId="0" applyFont="1" applyBorder="1" applyAlignment="1">
      <alignment horizontal="left" vertical="top" wrapText="1"/>
    </xf>
    <xf numFmtId="0" fontId="1" fillId="0" borderId="21" xfId="0" applyFont="1" applyBorder="1" applyAlignment="1">
      <alignment horizontal="left" vertical="top" wrapText="1"/>
    </xf>
    <xf numFmtId="0" fontId="1" fillId="0" borderId="31" xfId="0" applyFont="1" applyBorder="1" applyAlignment="1">
      <alignment horizontal="left" vertical="center" wrapText="1"/>
    </xf>
    <xf numFmtId="0" fontId="0" fillId="0" borderId="44" xfId="0" applyBorder="1" applyAlignment="1">
      <alignment vertical="center" wrapText="1"/>
    </xf>
    <xf numFmtId="0" fontId="1" fillId="0" borderId="13" xfId="0" applyFont="1" applyBorder="1" applyAlignment="1">
      <alignment horizontal="left" vertical="center" wrapText="1"/>
    </xf>
    <xf numFmtId="0" fontId="2" fillId="0" borderId="34" xfId="0" applyFont="1" applyBorder="1" applyAlignment="1">
      <alignment horizontal="left"/>
    </xf>
    <xf numFmtId="0" fontId="2" fillId="0" borderId="35" xfId="0" applyFont="1" applyBorder="1" applyAlignment="1">
      <alignment horizontal="left"/>
    </xf>
    <xf numFmtId="0" fontId="5" fillId="0" borderId="40" xfId="0" applyFont="1" applyBorder="1" applyAlignment="1">
      <alignment horizontal="left" vertical="center" wrapText="1"/>
    </xf>
    <xf numFmtId="0" fontId="5" fillId="0" borderId="41" xfId="0" applyFont="1" applyBorder="1" applyAlignment="1">
      <alignment horizontal="left" vertical="center" wrapText="1"/>
    </xf>
    <xf numFmtId="0" fontId="1" fillId="0" borderId="12" xfId="0" applyFont="1" applyBorder="1" applyAlignment="1">
      <alignment horizontal="left" vertical="top" wrapText="1"/>
    </xf>
    <xf numFmtId="0" fontId="1" fillId="0" borderId="13" xfId="0" applyFont="1" applyBorder="1" applyAlignment="1">
      <alignment horizontal="left" vertical="top" wrapText="1"/>
    </xf>
    <xf numFmtId="0" fontId="1" fillId="0" borderId="1" xfId="0" applyFont="1" applyBorder="1" applyAlignment="1">
      <alignment horizontal="center" vertical="top" wrapText="1"/>
    </xf>
    <xf numFmtId="0" fontId="1" fillId="0" borderId="8" xfId="0" applyFont="1" applyBorder="1" applyAlignment="1">
      <alignment horizontal="center" vertical="top" wrapText="1"/>
    </xf>
    <xf numFmtId="0" fontId="1" fillId="0" borderId="35" xfId="0" applyFont="1" applyBorder="1" applyAlignment="1">
      <alignment horizontal="center" vertical="top" wrapText="1"/>
    </xf>
    <xf numFmtId="0" fontId="1" fillId="0" borderId="36" xfId="0" applyFont="1" applyBorder="1" applyAlignment="1">
      <alignment horizontal="center" vertical="top" wrapText="1"/>
    </xf>
    <xf numFmtId="0" fontId="2" fillId="0" borderId="31" xfId="0" applyFont="1" applyBorder="1" applyAlignment="1">
      <alignment horizontal="left"/>
    </xf>
    <xf numFmtId="0" fontId="2" fillId="0" borderId="32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" fillId="0" borderId="7" xfId="0" applyFont="1" applyBorder="1" applyAlignment="1">
      <alignment horizontal="center" vertical="top" wrapText="1"/>
    </xf>
    <xf numFmtId="0" fontId="1" fillId="0" borderId="34" xfId="0" applyFont="1" applyBorder="1" applyAlignment="1">
      <alignment horizontal="center" vertical="top" wrapText="1"/>
    </xf>
    <xf numFmtId="0" fontId="1" fillId="0" borderId="17" xfId="0" applyFont="1" applyBorder="1" applyAlignment="1">
      <alignment horizontal="left" vertical="center" wrapText="1"/>
    </xf>
    <xf numFmtId="0" fontId="1" fillId="0" borderId="37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1" fillId="0" borderId="38" xfId="0" applyFont="1" applyBorder="1" applyAlignment="1">
      <alignment horizontal="left" vertical="center" wrapText="1"/>
    </xf>
    <xf numFmtId="0" fontId="0" fillId="0" borderId="3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1</xdr:row>
      <xdr:rowOff>104775</xdr:rowOff>
    </xdr:from>
    <xdr:to>
      <xdr:col>2</xdr:col>
      <xdr:colOff>1483351</xdr:colOff>
      <xdr:row>5</xdr:row>
      <xdr:rowOff>85725</xdr:rowOff>
    </xdr:to>
    <xdr:pic>
      <xdr:nvPicPr>
        <xdr:cNvPr id="2" name="Picture 1" descr="NSW Health Western NSW LHD - col grad RGB.jpg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47725" y="304800"/>
          <a:ext cx="2483476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95250</xdr:rowOff>
        </xdr:from>
        <xdr:to>
          <xdr:col>3</xdr:col>
          <xdr:colOff>542925</xdr:colOff>
          <xdr:row>53</xdr:row>
          <xdr:rowOff>142875</xdr:rowOff>
        </xdr:to>
        <xdr:sp macro="" textlink="">
          <xdr:nvSpPr>
            <xdr:cNvPr id="1027" name="Button 3" descr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D52"/>
  <sheetViews>
    <sheetView tabSelected="1" zoomScaleNormal="100" workbookViewId="0">
      <selection activeCell="H48" sqref="H48"/>
    </sheetView>
  </sheetViews>
  <sheetFormatPr defaultRowHeight="15" x14ac:dyDescent="0.25"/>
  <cols>
    <col min="2" max="2" width="18.5703125" customWidth="1"/>
    <col min="3" max="3" width="77.85546875" customWidth="1"/>
    <col min="4" max="4" width="11.5703125" customWidth="1"/>
    <col min="7" max="8" width="9.140625" customWidth="1"/>
  </cols>
  <sheetData>
    <row r="1" spans="2:4" ht="15.75" thickBot="1" x14ac:dyDescent="0.3"/>
    <row r="2" spans="2:4" x14ac:dyDescent="0.25">
      <c r="B2" s="33"/>
      <c r="C2" s="34"/>
      <c r="D2" s="35"/>
    </row>
    <row r="3" spans="2:4" x14ac:dyDescent="0.25">
      <c r="B3" s="36"/>
      <c r="C3" s="37"/>
      <c r="D3" s="38"/>
    </row>
    <row r="4" spans="2:4" x14ac:dyDescent="0.25">
      <c r="B4" s="36"/>
      <c r="C4" s="37"/>
      <c r="D4" s="38"/>
    </row>
    <row r="5" spans="2:4" x14ac:dyDescent="0.25">
      <c r="B5" s="36"/>
      <c r="C5" s="37"/>
      <c r="D5" s="38"/>
    </row>
    <row r="6" spans="2:4" x14ac:dyDescent="0.25">
      <c r="B6" s="39"/>
      <c r="C6" s="40"/>
      <c r="D6" s="41"/>
    </row>
    <row r="7" spans="2:4" ht="39" customHeight="1" x14ac:dyDescent="0.25">
      <c r="B7" s="44" t="s">
        <v>8</v>
      </c>
      <c r="C7" s="45"/>
      <c r="D7" s="46"/>
    </row>
    <row r="8" spans="2:4" ht="19.5" customHeight="1" x14ac:dyDescent="0.25">
      <c r="B8" s="1" t="s">
        <v>0</v>
      </c>
      <c r="C8" s="47"/>
      <c r="D8" s="48"/>
    </row>
    <row r="9" spans="2:4" ht="15.75" hidden="1" x14ac:dyDescent="0.25">
      <c r="B9" s="3"/>
      <c r="C9" s="4"/>
      <c r="D9" s="5"/>
    </row>
    <row r="10" spans="2:4" ht="15.75" x14ac:dyDescent="0.25">
      <c r="B10" s="3" t="s">
        <v>2</v>
      </c>
      <c r="C10" s="55"/>
      <c r="D10" s="48"/>
    </row>
    <row r="11" spans="2:4" ht="15.75" x14ac:dyDescent="0.25">
      <c r="B11" s="10" t="s">
        <v>3</v>
      </c>
      <c r="C11" s="56"/>
      <c r="D11" s="57"/>
    </row>
    <row r="12" spans="2:4" ht="16.5" thickBot="1" x14ac:dyDescent="0.3">
      <c r="B12" s="11" t="s">
        <v>4</v>
      </c>
      <c r="C12" s="58"/>
      <c r="D12" s="59"/>
    </row>
    <row r="13" spans="2:4" ht="15.75" x14ac:dyDescent="0.25">
      <c r="B13" s="13"/>
      <c r="C13" s="12"/>
      <c r="D13" s="12"/>
    </row>
    <row r="14" spans="2:4" s="8" customFormat="1" ht="15.75" thickBot="1" x14ac:dyDescent="0.3">
      <c r="B14" s="6"/>
      <c r="C14" s="6"/>
      <c r="D14" s="7"/>
    </row>
    <row r="15" spans="2:4" ht="29.25" thickBot="1" x14ac:dyDescent="0.5">
      <c r="B15" s="9" t="s">
        <v>5</v>
      </c>
      <c r="C15" s="21"/>
      <c r="D15" s="14" t="s">
        <v>9</v>
      </c>
    </row>
    <row r="16" spans="2:4" x14ac:dyDescent="0.25">
      <c r="B16" s="72" t="s">
        <v>20</v>
      </c>
      <c r="C16" s="73"/>
      <c r="D16" s="19"/>
    </row>
    <row r="17" spans="2:4" ht="15.75" x14ac:dyDescent="0.25">
      <c r="B17" s="42" t="s">
        <v>43</v>
      </c>
      <c r="C17" s="60"/>
      <c r="D17" s="23"/>
    </row>
    <row r="18" spans="2:4" x14ac:dyDescent="0.25">
      <c r="B18" s="49" t="s">
        <v>10</v>
      </c>
      <c r="C18" s="50"/>
      <c r="D18" s="20"/>
    </row>
    <row r="19" spans="2:4" x14ac:dyDescent="0.25">
      <c r="B19" s="49" t="s">
        <v>19</v>
      </c>
      <c r="C19" s="50"/>
      <c r="D19" s="20"/>
    </row>
    <row r="20" spans="2:4" ht="17.25" customHeight="1" x14ac:dyDescent="0.25">
      <c r="B20" s="42" t="s">
        <v>18</v>
      </c>
      <c r="C20" s="60"/>
      <c r="D20" s="18"/>
    </row>
    <row r="21" spans="2:4" x14ac:dyDescent="0.25">
      <c r="B21" s="49" t="s">
        <v>29</v>
      </c>
      <c r="C21" s="50"/>
      <c r="D21" s="20"/>
    </row>
    <row r="22" spans="2:4" x14ac:dyDescent="0.25">
      <c r="B22" s="49" t="s">
        <v>11</v>
      </c>
      <c r="C22" s="50"/>
      <c r="D22" s="20"/>
    </row>
    <row r="23" spans="2:4" x14ac:dyDescent="0.25">
      <c r="B23" s="49" t="s">
        <v>21</v>
      </c>
      <c r="C23" s="50"/>
      <c r="D23" s="20"/>
    </row>
    <row r="24" spans="2:4" ht="15" customHeight="1" x14ac:dyDescent="0.25">
      <c r="B24" s="42" t="s">
        <v>12</v>
      </c>
      <c r="C24" s="74"/>
      <c r="D24" s="20"/>
    </row>
    <row r="25" spans="2:4" ht="15" customHeight="1" x14ac:dyDescent="0.25">
      <c r="B25" s="42" t="s">
        <v>44</v>
      </c>
      <c r="C25" s="74"/>
      <c r="D25" s="20"/>
    </row>
    <row r="26" spans="2:4" ht="15" customHeight="1" x14ac:dyDescent="0.25">
      <c r="B26" s="42" t="s">
        <v>14</v>
      </c>
      <c r="C26" s="60"/>
      <c r="D26" s="20"/>
    </row>
    <row r="27" spans="2:4" ht="15" customHeight="1" x14ac:dyDescent="0.25">
      <c r="B27" s="42" t="s">
        <v>13</v>
      </c>
      <c r="C27" s="74"/>
      <c r="D27" s="20"/>
    </row>
    <row r="28" spans="2:4" ht="15" customHeight="1" x14ac:dyDescent="0.25">
      <c r="B28" s="53" t="s">
        <v>22</v>
      </c>
      <c r="C28" s="54"/>
      <c r="D28" s="20"/>
    </row>
    <row r="29" spans="2:4" ht="15.75" customHeight="1" x14ac:dyDescent="0.25">
      <c r="B29" s="51" t="s">
        <v>23</v>
      </c>
      <c r="C29" s="52"/>
      <c r="D29" s="20"/>
    </row>
    <row r="30" spans="2:4" ht="15" customHeight="1" x14ac:dyDescent="0.25">
      <c r="B30" s="51" t="s">
        <v>24</v>
      </c>
      <c r="C30" s="52"/>
      <c r="D30" s="20"/>
    </row>
    <row r="31" spans="2:4" ht="15.75" x14ac:dyDescent="0.25">
      <c r="B31" s="42" t="s">
        <v>25</v>
      </c>
      <c r="C31" s="43"/>
      <c r="D31" s="20"/>
    </row>
    <row r="32" spans="2:4" ht="30" customHeight="1" x14ac:dyDescent="0.25">
      <c r="B32" s="51" t="s">
        <v>15</v>
      </c>
      <c r="C32" s="52"/>
      <c r="D32" s="20"/>
    </row>
    <row r="33" spans="2:4" ht="55.5" customHeight="1" x14ac:dyDescent="0.25">
      <c r="B33" s="42" t="s">
        <v>16</v>
      </c>
      <c r="C33" s="43"/>
      <c r="D33" s="18"/>
    </row>
    <row r="34" spans="2:4" ht="15" customHeight="1" x14ac:dyDescent="0.25">
      <c r="B34" s="42" t="s">
        <v>17</v>
      </c>
      <c r="C34" s="43"/>
      <c r="D34" s="18"/>
    </row>
    <row r="35" spans="2:4" ht="15" customHeight="1" x14ac:dyDescent="0.25">
      <c r="B35" s="64" t="s">
        <v>1</v>
      </c>
      <c r="C35" s="65"/>
      <c r="D35" s="66"/>
    </row>
    <row r="36" spans="2:4" ht="15" customHeight="1" x14ac:dyDescent="0.25">
      <c r="B36" s="67"/>
      <c r="C36" s="68"/>
      <c r="D36" s="66"/>
    </row>
    <row r="37" spans="2:4" ht="15.75" customHeight="1" x14ac:dyDescent="0.25">
      <c r="B37" s="67"/>
      <c r="C37" s="68"/>
      <c r="D37" s="66"/>
    </row>
    <row r="38" spans="2:4" ht="15.75" customHeight="1" thickBot="1" x14ac:dyDescent="0.3">
      <c r="B38" s="69"/>
      <c r="C38" s="70"/>
      <c r="D38" s="71"/>
    </row>
    <row r="39" spans="2:4" ht="15.75" thickBot="1" x14ac:dyDescent="0.3"/>
    <row r="40" spans="2:4" ht="25.5" customHeight="1" thickBot="1" x14ac:dyDescent="0.3">
      <c r="B40" s="61" t="s">
        <v>6</v>
      </c>
      <c r="C40" s="62"/>
      <c r="D40" s="63"/>
    </row>
    <row r="41" spans="2:4" ht="25.5" customHeight="1" x14ac:dyDescent="0.25">
      <c r="B41" s="77" t="s">
        <v>45</v>
      </c>
      <c r="C41" s="78"/>
      <c r="D41" s="15" t="s">
        <v>9</v>
      </c>
    </row>
    <row r="42" spans="2:4" ht="18.75" customHeight="1" x14ac:dyDescent="0.25">
      <c r="B42" s="91" t="s">
        <v>27</v>
      </c>
      <c r="C42" s="92"/>
      <c r="D42" s="95"/>
    </row>
    <row r="43" spans="2:4" ht="30" customHeight="1" x14ac:dyDescent="0.25">
      <c r="B43" s="93"/>
      <c r="C43" s="94"/>
      <c r="D43" s="96"/>
    </row>
    <row r="44" spans="2:4" ht="16.5" customHeight="1" x14ac:dyDescent="0.25">
      <c r="B44" s="42" t="s">
        <v>26</v>
      </c>
      <c r="C44" s="74"/>
      <c r="D44" s="22"/>
    </row>
    <row r="45" spans="2:4" ht="15.75" x14ac:dyDescent="0.25">
      <c r="B45" s="79" t="s">
        <v>28</v>
      </c>
      <c r="C45" s="80"/>
      <c r="D45" s="2"/>
    </row>
    <row r="46" spans="2:4" ht="15" customHeight="1" x14ac:dyDescent="0.25">
      <c r="B46" s="89" t="s">
        <v>1</v>
      </c>
      <c r="C46" s="81"/>
      <c r="D46" s="82"/>
    </row>
    <row r="47" spans="2:4" ht="15" customHeight="1" x14ac:dyDescent="0.25">
      <c r="B47" s="89"/>
      <c r="C47" s="81"/>
      <c r="D47" s="82"/>
    </row>
    <row r="48" spans="2:4" ht="15.75" customHeight="1" thickBot="1" x14ac:dyDescent="0.3">
      <c r="B48" s="90"/>
      <c r="C48" s="83"/>
      <c r="D48" s="84"/>
    </row>
    <row r="49" spans="2:4" ht="15.75" thickBot="1" x14ac:dyDescent="0.3"/>
    <row r="50" spans="2:4" x14ac:dyDescent="0.25">
      <c r="B50" s="85" t="s">
        <v>7</v>
      </c>
      <c r="C50" s="86"/>
      <c r="D50" s="15"/>
    </row>
    <row r="51" spans="2:4" x14ac:dyDescent="0.25">
      <c r="B51" s="87" t="s">
        <v>4</v>
      </c>
      <c r="C51" s="88"/>
      <c r="D51" s="17"/>
    </row>
    <row r="52" spans="2:4" ht="15.75" thickBot="1" x14ac:dyDescent="0.3">
      <c r="B52" s="75" t="s">
        <v>3</v>
      </c>
      <c r="C52" s="76"/>
      <c r="D52" s="16"/>
    </row>
  </sheetData>
  <mergeCells count="37">
    <mergeCell ref="B52:C52"/>
    <mergeCell ref="B41:C41"/>
    <mergeCell ref="B45:C45"/>
    <mergeCell ref="C46:D48"/>
    <mergeCell ref="B50:C50"/>
    <mergeCell ref="B51:C51"/>
    <mergeCell ref="B46:B48"/>
    <mergeCell ref="B42:C43"/>
    <mergeCell ref="D42:D43"/>
    <mergeCell ref="B44:C44"/>
    <mergeCell ref="B20:C20"/>
    <mergeCell ref="B40:D40"/>
    <mergeCell ref="B35:D38"/>
    <mergeCell ref="B21:C21"/>
    <mergeCell ref="B16:C16"/>
    <mergeCell ref="B19:C19"/>
    <mergeCell ref="B27:C27"/>
    <mergeCell ref="B23:C23"/>
    <mergeCell ref="B24:C24"/>
    <mergeCell ref="B25:C25"/>
    <mergeCell ref="B22:C22"/>
    <mergeCell ref="B2:D6"/>
    <mergeCell ref="B33:C33"/>
    <mergeCell ref="B34:C34"/>
    <mergeCell ref="B7:D7"/>
    <mergeCell ref="C8:D8"/>
    <mergeCell ref="B18:C18"/>
    <mergeCell ref="B29:C29"/>
    <mergeCell ref="B31:C31"/>
    <mergeCell ref="B32:C32"/>
    <mergeCell ref="B28:C28"/>
    <mergeCell ref="C10:D10"/>
    <mergeCell ref="C11:D11"/>
    <mergeCell ref="C12:D12"/>
    <mergeCell ref="B30:C30"/>
    <mergeCell ref="B26:C26"/>
    <mergeCell ref="B17:C17"/>
  </mergeCells>
  <pageMargins left="0.70866141732283472" right="0.70866141732283472" top="0.74803149606299213" bottom="0.74803149606299213" header="0.31496062992125984" footer="0.31496062992125984"/>
  <pageSetup paperSize="9" scale="6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_SUBMIT" altText="Submit">
                <anchor moveWithCells="1">
                  <from>
                    <xdr:col>3</xdr:col>
                    <xdr:colOff>0</xdr:colOff>
                    <xdr:row>52</xdr:row>
                    <xdr:rowOff>95250</xdr:rowOff>
                  </from>
                  <to>
                    <xdr:col>3</xdr:col>
                    <xdr:colOff>542925</xdr:colOff>
                    <xdr:row>53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E33"/>
  <sheetViews>
    <sheetView workbookViewId="0">
      <selection activeCell="A4" sqref="A4"/>
    </sheetView>
  </sheetViews>
  <sheetFormatPr defaultRowHeight="15" x14ac:dyDescent="0.25"/>
  <cols>
    <col min="1" max="1" width="16.5703125" style="25" customWidth="1"/>
    <col min="2" max="2" width="16.7109375" style="25" customWidth="1"/>
    <col min="3" max="3" width="18" style="25" customWidth="1"/>
    <col min="4" max="4" width="17.140625" style="25" customWidth="1"/>
    <col min="5" max="5" width="37" style="31" customWidth="1"/>
    <col min="6" max="16384" width="9.140625" style="25"/>
  </cols>
  <sheetData>
    <row r="3" spans="1:5" x14ac:dyDescent="0.25">
      <c r="A3" s="27" t="s">
        <v>30</v>
      </c>
      <c r="B3" s="27" t="s">
        <v>38</v>
      </c>
      <c r="C3" s="27" t="s">
        <v>39</v>
      </c>
      <c r="D3" s="27" t="s">
        <v>40</v>
      </c>
      <c r="E3" s="27" t="s">
        <v>41</v>
      </c>
    </row>
    <row r="4" spans="1:5" x14ac:dyDescent="0.25">
      <c r="A4" s="32" t="s">
        <v>42</v>
      </c>
      <c r="B4" s="24"/>
      <c r="C4" s="24"/>
      <c r="D4" s="24"/>
      <c r="E4" s="28"/>
    </row>
    <row r="5" spans="1:5" x14ac:dyDescent="0.25">
      <c r="A5" s="25" t="s">
        <v>31</v>
      </c>
      <c r="B5" s="26"/>
      <c r="C5" s="26"/>
      <c r="D5" s="26"/>
      <c r="E5" s="29" t="str">
        <f>IF(AND(ISNUMBER(B5),ISNUMBER(C5),ISNUMBER(D5)),SQRT((B5-$B$4)^2+(C5-$C$4)^2+(D5-$D$4)^2),"")</f>
        <v/>
      </c>
    </row>
    <row r="6" spans="1:5" x14ac:dyDescent="0.25">
      <c r="A6" s="25" t="s">
        <v>32</v>
      </c>
      <c r="B6" s="26"/>
      <c r="C6" s="26"/>
      <c r="D6" s="26"/>
      <c r="E6" s="29" t="str">
        <f t="shared" ref="E6:E28" si="0">IF(AND(ISNUMBER(B6),ISNUMBER(C6),ISNUMBER(D6)),SQRT((B6-$B$4)^2+(C6-$C$4)^2+(D6-$D$4)^2),"")</f>
        <v/>
      </c>
    </row>
    <row r="7" spans="1:5" x14ac:dyDescent="0.25">
      <c r="A7" s="25" t="s">
        <v>33</v>
      </c>
      <c r="B7" s="26"/>
      <c r="C7" s="26"/>
      <c r="D7" s="26"/>
      <c r="E7" s="29" t="str">
        <f t="shared" si="0"/>
        <v/>
      </c>
    </row>
    <row r="8" spans="1:5" x14ac:dyDescent="0.25">
      <c r="A8" s="25" t="s">
        <v>34</v>
      </c>
      <c r="B8" s="26"/>
      <c r="C8" s="26"/>
      <c r="D8" s="26"/>
      <c r="E8" s="29" t="str">
        <f t="shared" si="0"/>
        <v/>
      </c>
    </row>
    <row r="9" spans="1:5" x14ac:dyDescent="0.25">
      <c r="A9" s="25" t="s">
        <v>35</v>
      </c>
      <c r="B9" s="26"/>
      <c r="C9" s="26"/>
      <c r="D9" s="26"/>
      <c r="E9" s="29" t="str">
        <f t="shared" si="0"/>
        <v/>
      </c>
    </row>
    <row r="10" spans="1:5" x14ac:dyDescent="0.25">
      <c r="A10" s="25" t="s">
        <v>36</v>
      </c>
      <c r="B10" s="26"/>
      <c r="C10" s="26"/>
      <c r="D10" s="26"/>
      <c r="E10" s="29" t="str">
        <f t="shared" si="0"/>
        <v/>
      </c>
    </row>
    <row r="11" spans="1:5" x14ac:dyDescent="0.25">
      <c r="A11" s="25" t="s">
        <v>37</v>
      </c>
      <c r="B11" s="26"/>
      <c r="C11" s="26"/>
      <c r="D11" s="26"/>
      <c r="E11" s="29" t="str">
        <f t="shared" si="0"/>
        <v/>
      </c>
    </row>
    <row r="12" spans="1:5" x14ac:dyDescent="0.25">
      <c r="B12" s="26"/>
      <c r="C12" s="26"/>
      <c r="D12" s="26"/>
      <c r="E12" s="29" t="str">
        <f t="shared" si="0"/>
        <v/>
      </c>
    </row>
    <row r="13" spans="1:5" x14ac:dyDescent="0.25">
      <c r="B13" s="26"/>
      <c r="C13" s="26"/>
      <c r="D13" s="26"/>
      <c r="E13" s="29" t="str">
        <f t="shared" si="0"/>
        <v/>
      </c>
    </row>
    <row r="14" spans="1:5" x14ac:dyDescent="0.25">
      <c r="B14" s="26"/>
      <c r="C14" s="26"/>
      <c r="D14" s="26"/>
      <c r="E14" s="29" t="str">
        <f t="shared" si="0"/>
        <v/>
      </c>
    </row>
    <row r="15" spans="1:5" x14ac:dyDescent="0.25">
      <c r="B15" s="26"/>
      <c r="C15" s="26"/>
      <c r="D15" s="26"/>
      <c r="E15" s="29" t="str">
        <f t="shared" si="0"/>
        <v/>
      </c>
    </row>
    <row r="16" spans="1:5" x14ac:dyDescent="0.25">
      <c r="B16" s="26"/>
      <c r="C16" s="26"/>
      <c r="D16" s="26"/>
      <c r="E16" s="29" t="str">
        <f t="shared" si="0"/>
        <v/>
      </c>
    </row>
    <row r="17" spans="2:5" x14ac:dyDescent="0.25">
      <c r="B17" s="26"/>
      <c r="C17" s="26"/>
      <c r="D17" s="26"/>
      <c r="E17" s="29" t="str">
        <f t="shared" si="0"/>
        <v/>
      </c>
    </row>
    <row r="18" spans="2:5" x14ac:dyDescent="0.25">
      <c r="B18" s="26"/>
      <c r="C18" s="26"/>
      <c r="D18" s="26"/>
      <c r="E18" s="29" t="str">
        <f t="shared" si="0"/>
        <v/>
      </c>
    </row>
    <row r="19" spans="2:5" x14ac:dyDescent="0.25">
      <c r="B19" s="26"/>
      <c r="C19" s="26"/>
      <c r="D19" s="26"/>
      <c r="E19" s="29" t="str">
        <f t="shared" si="0"/>
        <v/>
      </c>
    </row>
    <row r="20" spans="2:5" x14ac:dyDescent="0.25">
      <c r="B20" s="26"/>
      <c r="C20" s="26"/>
      <c r="D20" s="26"/>
      <c r="E20" s="29" t="str">
        <f t="shared" si="0"/>
        <v/>
      </c>
    </row>
    <row r="21" spans="2:5" x14ac:dyDescent="0.25">
      <c r="B21" s="26"/>
      <c r="C21" s="26"/>
      <c r="D21" s="26"/>
      <c r="E21" s="29" t="str">
        <f t="shared" si="0"/>
        <v/>
      </c>
    </row>
    <row r="22" spans="2:5" x14ac:dyDescent="0.25">
      <c r="B22" s="26"/>
      <c r="C22" s="26"/>
      <c r="D22" s="26"/>
      <c r="E22" s="29" t="str">
        <f t="shared" si="0"/>
        <v/>
      </c>
    </row>
    <row r="23" spans="2:5" x14ac:dyDescent="0.25">
      <c r="B23" s="26"/>
      <c r="C23" s="26"/>
      <c r="D23" s="26"/>
      <c r="E23" s="29" t="str">
        <f t="shared" si="0"/>
        <v/>
      </c>
    </row>
    <row r="24" spans="2:5" x14ac:dyDescent="0.25">
      <c r="B24" s="26"/>
      <c r="C24" s="26"/>
      <c r="D24" s="26"/>
      <c r="E24" s="29" t="str">
        <f t="shared" si="0"/>
        <v/>
      </c>
    </row>
    <row r="25" spans="2:5" x14ac:dyDescent="0.25">
      <c r="B25" s="26"/>
      <c r="C25" s="26"/>
      <c r="D25" s="26"/>
      <c r="E25" s="29" t="str">
        <f t="shared" si="0"/>
        <v/>
      </c>
    </row>
    <row r="26" spans="2:5" x14ac:dyDescent="0.25">
      <c r="B26" s="26"/>
      <c r="C26" s="26"/>
      <c r="D26" s="26"/>
      <c r="E26" s="29" t="str">
        <f t="shared" si="0"/>
        <v/>
      </c>
    </row>
    <row r="27" spans="2:5" x14ac:dyDescent="0.25">
      <c r="B27" s="26"/>
      <c r="C27" s="26"/>
      <c r="D27" s="26"/>
      <c r="E27" s="29" t="str">
        <f t="shared" si="0"/>
        <v/>
      </c>
    </row>
    <row r="28" spans="2:5" x14ac:dyDescent="0.25">
      <c r="B28" s="26"/>
      <c r="C28" s="26"/>
      <c r="D28" s="26"/>
      <c r="E28" s="29" t="str">
        <f t="shared" si="0"/>
        <v/>
      </c>
    </row>
    <row r="29" spans="2:5" x14ac:dyDescent="0.25">
      <c r="B29" s="26"/>
      <c r="C29" s="26"/>
      <c r="D29" s="26"/>
      <c r="E29" s="30"/>
    </row>
    <row r="30" spans="2:5" x14ac:dyDescent="0.25">
      <c r="B30" s="26"/>
      <c r="C30" s="26"/>
      <c r="D30" s="26"/>
      <c r="E30" s="30"/>
    </row>
    <row r="31" spans="2:5" x14ac:dyDescent="0.25">
      <c r="B31" s="26"/>
      <c r="C31" s="26"/>
      <c r="D31" s="26"/>
      <c r="E31" s="30"/>
    </row>
    <row r="32" spans="2:5" x14ac:dyDescent="0.25">
      <c r="B32" s="26"/>
      <c r="C32" s="26"/>
      <c r="D32" s="26"/>
      <c r="E32" s="30"/>
    </row>
    <row r="33" spans="2:5" x14ac:dyDescent="0.25">
      <c r="B33" s="26"/>
      <c r="C33" s="26"/>
      <c r="D33" s="26"/>
      <c r="E33" s="30"/>
    </row>
  </sheetData>
  <sheetProtection sheet="1" objects="1" scenarios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Distance Calculation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abailey</dc:creator>
  <cp:lastModifiedBy>Joshua Hiatt (Western NSW LHD)</cp:lastModifiedBy>
  <cp:lastPrinted>2019-04-22T23:56:37Z</cp:lastPrinted>
  <dcterms:created xsi:type="dcterms:W3CDTF">2011-12-01T22:18:54Z</dcterms:created>
  <dcterms:modified xsi:type="dcterms:W3CDTF">2025-07-07T01:49:26Z</dcterms:modified>
</cp:coreProperties>
</file>